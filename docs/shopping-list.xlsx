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zakupów" sheetId="1" state="visible" r:id="rId3"/>
  </sheets>
  <definedNames>
    <definedName function="false" hidden="false" localSheetId="0" name="_xlnm.Print_Titles" vbProcedure="false">'Lista zakupów'!$4:$4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<sst xmlns="http://schemas.openxmlformats.org/spreadsheetml/2006/main" count="79" uniqueCount="47">
  <si>
    <t xml:space="preserve">Lista zakupów – FPV GCS z masztem (weakgcs)</t>
  </si>
  <si>
    <t xml:space="preserve">Wpisz TAK w kolumnie „Kupione” (lista rozwijana) – wiersz zrobi się zielony. Ilości możesz zmieniać.</t>
  </si>
  <si>
    <t xml:space="preserve">Nazwa</t>
  </si>
  <si>
    <t xml:space="preserve">Sztuki</t>
  </si>
  <si>
    <t xml:space="preserve">Kupione</t>
  </si>
  <si>
    <t xml:space="preserve">ETAP 1: STÓŁ (sterowanie)</t>
  </si>
  <si>
    <t xml:space="preserve">Olimex ESP32-POE (bez ISO)</t>
  </si>
  <si>
    <t xml:space="preserve">NIE</t>
  </si>
  <si>
    <t xml:space="preserve">Moduł ELRS TX 2.4 GHz, firmware EU/LBT (np. Radiomaster Ranger Micro/Nano) – jeśli nie mam</t>
  </si>
  <si>
    <t xml:space="preserve">Przetwornica step-down 5 V ≥3 A, wejście do 28 V (ESP32+ELRS i osobno SteadyView)</t>
  </si>
  <si>
    <t xml:space="preserve">Kondensator low-ESR 470–1000 µF / 35 V</t>
  </si>
  <si>
    <t xml:space="preserve">Rezystor 1 kΩ (linia CRSF)</t>
  </si>
  <si>
    <t xml:space="preserve">Konwerter poziomów BSS138 (zapas, gdyby CRSF był 5 V)</t>
  </si>
  <si>
    <t xml:space="preserve">Złącze do modułu ELRS (gniazdo JR / goldpiny)</t>
  </si>
  <si>
    <t xml:space="preserve">Patchcord RJ45 0,25–0,5 m</t>
  </si>
  <si>
    <t xml:space="preserve">ETAP 2: WIDEO</t>
  </si>
  <si>
    <t xml:space="preserve">Antena 5.8 GHz patch (polaryzacja jak w dronie)</t>
  </si>
  <si>
    <t xml:space="preserve">Antena 5.8 GHz dookólna (ta sama polaryzacja)</t>
  </si>
  <si>
    <t xml:space="preserve">RdestGrabber – grabber USB CVBS „no blue screen” (rdest.io, wejście RCA, UVC)</t>
  </si>
  <si>
    <t xml:space="preserve">Para pasywnych balunów wideo CCTV (BNC ↔ skrętka)</t>
  </si>
  <si>
    <t xml:space="preserve">Gniazdo BNC do lutowania (wyjście wideo SteadyView)</t>
  </si>
  <si>
    <t xml:space="preserve">Przejściówka BNC (gniazdo) ↔ RCA (wtyk): balun → wejście RCA grabbera</t>
  </si>
  <si>
    <t xml:space="preserve">Przewód ekranowany cienki (mini-koncentryk), 0,5 m</t>
  </si>
  <si>
    <t xml:space="preserve">Listwa/gniazdo żeńskie do pinów SteadyView (sprawdzić raster)</t>
  </si>
  <si>
    <t xml:space="preserve">Filtr LC na zasilanie SteadyView (dławik 10–47 µH + kondensator)</t>
  </si>
  <si>
    <t xml:space="preserve">ETAP 3: KABEL, ZASILANIE, TEREN</t>
  </si>
  <si>
    <t xml:space="preserve">Skrętka zewnętrzna kat. 5e/6, żelowana, UV, miedź (nie CCA) – metry</t>
  </si>
  <si>
    <t xml:space="preserve">Bęben/zwijadło na kabel</t>
  </si>
  <si>
    <t xml:space="preserve">Przejściówka RJ45 ↔ zaciski śrubowe</t>
  </si>
  <si>
    <t xml:space="preserve">Wtyki RJ45 + zaciskarka + tester (jeśli zarabiam sam)</t>
  </si>
  <si>
    <t xml:space="preserve">Karta USB-Ethernet RTL8153 (jeśli laptop nie ma RJ45)</t>
  </si>
  <si>
    <t xml:space="preserve">Źródło 24 V ≥2 A (zasilacz 24 V / LiPo 6S / powerbank PD + wyzwalacz 20 V)</t>
  </si>
  <si>
    <t xml:space="preserve">Złącza XT60, gniazdo DC 5,5/2,1, przewody</t>
  </si>
  <si>
    <t xml:space="preserve">Bezpiecznik/polyfuse ~2 A + oprawka</t>
  </si>
  <si>
    <t xml:space="preserve">Maszt teleskopowy 5–8 m, włókno szklane</t>
  </si>
  <si>
    <t xml:space="preserve">Podstawa/statyw lub szpilka + odciągi</t>
  </si>
  <si>
    <t xml:space="preserve">Puszka hermetyczna IP65 ~150×100×70 mm + dławiki kablowe</t>
  </si>
  <si>
    <t xml:space="preserve">Przedłużka antenowa SMA low-loss ≤20 cm (sprawdzić SMA vs RP-SMA)</t>
  </si>
  <si>
    <t xml:space="preserve">Uchwyty anten, obejmy, opaski, rzepy</t>
  </si>
  <si>
    <t xml:space="preserve">WARSZTAT (jeśli brak)</t>
  </si>
  <si>
    <t xml:space="preserve">Multimetr</t>
  </si>
  <si>
    <t xml:space="preserve">Lutownica, cyna, koszulki termokurczliwe, przewody silikonowe</t>
  </si>
  <si>
    <t xml:space="preserve">Kabel USB-C do radia (DANE, nie tylko ładowanie)</t>
  </si>
  <si>
    <t xml:space="preserve">Kupione pozycje</t>
  </si>
  <si>
    <t xml:space="preserve">Pozostało do kupienia</t>
  </si>
  <si>
    <t xml:space="preserve">Nie kupuję: osobnego VRX (mam SteadyView V3.3), przetwornicy 12 V, injectora PoE, drugiego grabbera.</t>
  </si>
  <si>
    <t xml:space="preserve">Pary skrętki: pomarańczowa+zielona = Ethernet, niebieska = wideo, brązowa = 24 V. Nie podawać 24 V do RJ45 płytki ESP32.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</si>
</sst>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0"/>
    <col collapsed="false" customWidth="true" hidden="false" outlineLevel="0" max="3" min="3" style="1" width="1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</row>
    <row r="5" customFormat="false" ht="15" hidden="false" customHeight="true" outlineLevel="0" collapsed="false">
      <c r="A5" s="6" t="s">
        <v>5</v>
      </c>
      <c r="B5" s="7"/>
      <c r="C5" s="7"/>
    </row>
    <row r="6" customFormat="false" ht="15" hidden="false" customHeight="true" outlineLevel="0" collapsed="false">
      <c r="A6" s="8" t="s">
        <v>6</v>
      </c>
      <c r="B6" s="9" t="n">
        <v>1</v>
      </c>
      <c r="C6" s="10" t="s">
        <v>7</v>
      </c>
    </row>
    <row r="7" customFormat="false" ht="26.25" hidden="false" customHeight="true" outlineLevel="0" collapsed="false">
      <c r="A7" s="8" t="s">
        <v>8</v>
      </c>
      <c r="B7" s="9" t="n">
        <v>1</v>
      </c>
      <c r="C7" s="10" t="s">
        <v>7</v>
      </c>
    </row>
    <row r="8" customFormat="false" ht="26.25" hidden="false" customHeight="true" outlineLevel="0" collapsed="false">
      <c r="A8" s="8" t="s">
        <v>9</v>
      </c>
      <c r="B8" s="9" t="n">
        <v>2</v>
      </c>
      <c r="C8" s="10" t="s">
        <v>7</v>
      </c>
    </row>
    <row r="9" customFormat="false" ht="15" hidden="false" customHeight="true" outlineLevel="0" collapsed="false">
      <c r="A9" s="8" t="s">
        <v>10</v>
      </c>
      <c r="B9" s="9" t="n">
        <v>2</v>
      </c>
      <c r="C9" s="10" t="s">
        <v>7</v>
      </c>
    </row>
    <row r="10" customFormat="false" ht="15" hidden="false" customHeight="true" outlineLevel="0" collapsed="false">
      <c r="A10" s="8" t="s">
        <v>11</v>
      </c>
      <c r="B10" s="9" t="n">
        <v>5</v>
      </c>
      <c r="C10" s="10" t="s">
        <v>7</v>
      </c>
    </row>
    <row r="11" customFormat="false" ht="15" hidden="false" customHeight="true" outlineLevel="0" collapsed="false">
      <c r="A11" s="8" t="s">
        <v>12</v>
      </c>
      <c r="B11" s="9" t="n">
        <v>1</v>
      </c>
      <c r="C11" s="10" t="s">
        <v>7</v>
      </c>
    </row>
    <row r="12" customFormat="false" ht="15" hidden="false" customHeight="true" outlineLevel="0" collapsed="false">
      <c r="A12" s="8" t="s">
        <v>13</v>
      </c>
      <c r="B12" s="9" t="n">
        <v>1</v>
      </c>
      <c r="C12" s="10" t="s">
        <v>7</v>
      </c>
    </row>
    <row r="13" customFormat="false" ht="15" hidden="false" customHeight="true" outlineLevel="0" collapsed="false">
      <c r="A13" s="8" t="s">
        <v>14</v>
      </c>
      <c r="B13" s="9" t="n">
        <v>3</v>
      </c>
      <c r="C13" s="10" t="s">
        <v>7</v>
      </c>
    </row>
    <row r="14" customFormat="false" ht="15" hidden="false" customHeight="true" outlineLevel="0" collapsed="false">
      <c r="A14" s="6" t="s">
        <v>15</v>
      </c>
      <c r="B14" s="7"/>
      <c r="C14" s="7"/>
    </row>
    <row r="15" customFormat="false" ht="15" hidden="false" customHeight="true" outlineLevel="0" collapsed="false">
      <c r="A15" s="8" t="s">
        <v>16</v>
      </c>
      <c r="B15" s="9" t="n">
        <v>1</v>
      </c>
      <c r="C15" s="10" t="s">
        <v>7</v>
      </c>
    </row>
    <row r="16" customFormat="false" ht="15" hidden="false" customHeight="true" outlineLevel="0" collapsed="false">
      <c r="A16" s="8" t="s">
        <v>17</v>
      </c>
      <c r="B16" s="9" t="n">
        <v>1</v>
      </c>
      <c r="C16" s="10" t="s">
        <v>7</v>
      </c>
    </row>
    <row r="17" customFormat="false" ht="15" hidden="false" customHeight="true" outlineLevel="0" collapsed="false">
      <c r="A17" s="8" t="s">
        <v>18</v>
      </c>
      <c r="B17" s="9" t="n">
        <v>1</v>
      </c>
      <c r="C17" s="10" t="s">
        <v>7</v>
      </c>
    </row>
    <row r="18" customFormat="false" ht="15" hidden="false" customHeight="true" outlineLevel="0" collapsed="false">
      <c r="A18" s="8" t="s">
        <v>19</v>
      </c>
      <c r="B18" s="9" t="n">
        <v>1</v>
      </c>
      <c r="C18" s="10" t="s">
        <v>7</v>
      </c>
    </row>
    <row r="19" customFormat="false" ht="15" hidden="false" customHeight="true" outlineLevel="0" collapsed="false">
      <c r="A19" s="8" t="s">
        <v>20</v>
      </c>
      <c r="B19" s="9" t="n">
        <v>1</v>
      </c>
      <c r="C19" s="10" t="s">
        <v>7</v>
      </c>
    </row>
    <row r="20" customFormat="false" ht="15" hidden="false" customHeight="true" outlineLevel="0" collapsed="false">
      <c r="A20" s="8" t="s">
        <v>21</v>
      </c>
      <c r="B20" s="9" t="n">
        <v>1</v>
      </c>
      <c r="C20" s="10" t="s">
        <v>7</v>
      </c>
    </row>
    <row r="21" customFormat="false" ht="15" hidden="false" customHeight="true" outlineLevel="0" collapsed="false">
      <c r="A21" s="8" t="s">
        <v>22</v>
      </c>
      <c r="B21" s="9" t="n">
        <v>1</v>
      </c>
      <c r="C21" s="10" t="s">
        <v>7</v>
      </c>
    </row>
    <row r="22" customFormat="false" ht="15" hidden="false" customHeight="true" outlineLevel="0" collapsed="false">
      <c r="A22" s="8" t="s">
        <v>23</v>
      </c>
      <c r="B22" s="9" t="n">
        <v>1</v>
      </c>
      <c r="C22" s="10" t="s">
        <v>7</v>
      </c>
    </row>
    <row r="23" customFormat="false" ht="15" hidden="false" customHeight="true" outlineLevel="0" collapsed="false">
      <c r="A23" s="8" t="s">
        <v>24</v>
      </c>
      <c r="B23" s="9" t="n">
        <v>1</v>
      </c>
      <c r="C23" s="10" t="s">
        <v>7</v>
      </c>
    </row>
    <row r="24" customFormat="false" ht="15" hidden="false" customHeight="true" outlineLevel="0" collapsed="false">
      <c r="A24" s="6" t="s">
        <v>25</v>
      </c>
      <c r="B24" s="7"/>
      <c r="C24" s="7"/>
    </row>
    <row r="25" customFormat="false" ht="15" hidden="false" customHeight="true" outlineLevel="0" collapsed="false">
      <c r="A25" s="8" t="s">
        <v>26</v>
      </c>
      <c r="B25" s="9" t="n">
        <v>50</v>
      </c>
      <c r="C25" s="10" t="s">
        <v>7</v>
      </c>
    </row>
    <row r="26" customFormat="false" ht="15" hidden="false" customHeight="true" outlineLevel="0" collapsed="false">
      <c r="A26" s="8" t="s">
        <v>27</v>
      </c>
      <c r="B26" s="9" t="n">
        <v>1</v>
      </c>
      <c r="C26" s="10" t="s">
        <v>7</v>
      </c>
    </row>
    <row r="27" customFormat="false" ht="15" hidden="false" customHeight="true" outlineLevel="0" collapsed="false">
      <c r="A27" s="8" t="s">
        <v>28</v>
      </c>
      <c r="B27" s="9" t="n">
        <v>4</v>
      </c>
      <c r="C27" s="10" t="s">
        <v>7</v>
      </c>
    </row>
    <row r="28" customFormat="false" ht="15" hidden="false" customHeight="true" outlineLevel="0" collapsed="false">
      <c r="A28" s="8" t="s">
        <v>29</v>
      </c>
      <c r="B28" s="9" t="n">
        <v>1</v>
      </c>
      <c r="C28" s="10" t="s">
        <v>7</v>
      </c>
    </row>
    <row r="29" customFormat="false" ht="15" hidden="false" customHeight="true" outlineLevel="0" collapsed="false">
      <c r="A29" s="8" t="s">
        <v>30</v>
      </c>
      <c r="B29" s="9" t="n">
        <v>1</v>
      </c>
      <c r="C29" s="10" t="s">
        <v>7</v>
      </c>
    </row>
    <row r="30" customFormat="false" ht="15" hidden="false" customHeight="true" outlineLevel="0" collapsed="false">
      <c r="A30" s="8" t="s">
        <v>31</v>
      </c>
      <c r="B30" s="9" t="n">
        <v>1</v>
      </c>
      <c r="C30" s="10" t="s">
        <v>7</v>
      </c>
    </row>
    <row r="31" customFormat="false" ht="15" hidden="false" customHeight="true" outlineLevel="0" collapsed="false">
      <c r="A31" s="8" t="s">
        <v>32</v>
      </c>
      <c r="B31" s="9" t="n">
        <v>1</v>
      </c>
      <c r="C31" s="10" t="s">
        <v>7</v>
      </c>
    </row>
    <row r="32" customFormat="false" ht="15" hidden="false" customHeight="true" outlineLevel="0" collapsed="false">
      <c r="A32" s="8" t="s">
        <v>33</v>
      </c>
      <c r="B32" s="9" t="n">
        <v>1</v>
      </c>
      <c r="C32" s="10" t="s">
        <v>7</v>
      </c>
    </row>
    <row r="33" customFormat="false" ht="15" hidden="false" customHeight="true" outlineLevel="0" collapsed="false">
      <c r="A33" s="8" t="s">
        <v>34</v>
      </c>
      <c r="B33" s="9" t="n">
        <v>1</v>
      </c>
      <c r="C33" s="10" t="s">
        <v>7</v>
      </c>
    </row>
    <row r="34" customFormat="false" ht="15" hidden="false" customHeight="true" outlineLevel="0" collapsed="false">
      <c r="A34" s="8" t="s">
        <v>35</v>
      </c>
      <c r="B34" s="9" t="n">
        <v>1</v>
      </c>
      <c r="C34" s="10" t="s">
        <v>7</v>
      </c>
    </row>
    <row r="35" customFormat="false" ht="15" hidden="false" customHeight="true" outlineLevel="0" collapsed="false">
      <c r="A35" s="8" t="s">
        <v>36</v>
      </c>
      <c r="B35" s="9" t="n">
        <v>1</v>
      </c>
      <c r="C35" s="10" t="s">
        <v>7</v>
      </c>
    </row>
    <row r="36" customFormat="false" ht="15" hidden="false" customHeight="true" outlineLevel="0" collapsed="false">
      <c r="A36" s="8" t="s">
        <v>37</v>
      </c>
      <c r="B36" s="9" t="n">
        <v>3</v>
      </c>
      <c r="C36" s="10" t="s">
        <v>7</v>
      </c>
    </row>
    <row r="37" customFormat="false" ht="15" hidden="false" customHeight="true" outlineLevel="0" collapsed="false">
      <c r="A37" s="8" t="s">
        <v>38</v>
      </c>
      <c r="B37" s="9" t="n">
        <v>1</v>
      </c>
      <c r="C37" s="10" t="s">
        <v>7</v>
      </c>
    </row>
    <row r="38" customFormat="false" ht="15" hidden="false" customHeight="true" outlineLevel="0" collapsed="false">
      <c r="A38" s="6" t="s">
        <v>39</v>
      </c>
      <c r="B38" s="7"/>
      <c r="C38" s="7"/>
    </row>
    <row r="39" customFormat="false" ht="15" hidden="false" customHeight="true" outlineLevel="0" collapsed="false">
      <c r="A39" s="8" t="s">
        <v>40</v>
      </c>
      <c r="B39" s="9" t="n">
        <v>1</v>
      </c>
      <c r="C39" s="10" t="s">
        <v>7</v>
      </c>
    </row>
    <row r="40" customFormat="false" ht="15" hidden="false" customHeight="true" outlineLevel="0" collapsed="false">
      <c r="A40" s="8" t="s">
        <v>41</v>
      </c>
      <c r="B40" s="9" t="n">
        <v>1</v>
      </c>
      <c r="C40" s="10" t="s">
        <v>7</v>
      </c>
    </row>
    <row r="41" customFormat="false" ht="15" hidden="false" customHeight="true" outlineLevel="0" collapsed="false">
      <c r="A41" s="8" t="s">
        <v>42</v>
      </c>
      <c r="B41" s="9" t="n">
        <v>1</v>
      </c>
      <c r="C41" s="10" t="s">
        <v>7</v>
      </c>
    </row>
    <row r="43" customFormat="false" ht="15" hidden="false" customHeight="true" outlineLevel="0" collapsed="false">
      <c r="A43" s="11" t="s">
        <v>43</v>
      </c>
      <c r="B43" s="12" t="str">
        <f aca="false">COUNTIF(C6:C41,"TAK")&amp;" / "&amp;(COUNTIF(C6:C41,"TAK")+COUNTIF(C6:C41,"NIE"))</f>
        <v>0 / 33</v>
      </c>
    </row>
    <row r="44" customFormat="false" ht="15" hidden="false" customHeight="true" outlineLevel="0" collapsed="false">
      <c r="A44" s="11" t="s">
        <v>44</v>
      </c>
      <c r="B44" s="12" t="n">
        <f aca="false">COUNTIF(C6:C41,"NIE")</f>
        <v>33</v>
      </c>
    </row>
    <row r="46" customFormat="false" ht="15" hidden="false" customHeight="true" outlineLevel="0" collapsed="false">
      <c r="A46" s="3" t="s">
        <v>45</v>
      </c>
    </row>
    <row r="47" customFormat="false" ht="15" hidden="false" customHeight="true" outlineLevel="0" collapsed="false">
      <c r="A47" s="3" t="s">
        <v>46</v>
      </c>
    </row>
  </sheetData>
  <conditionalFormatting sqref="A6:C41">
    <cfRule type="expression" priority="2" aboveAverage="0" equalAverage="0" bottom="0" percent="0" rank="0" text="" dxfId="0">
      <formula>$C6="TAK"</formula>
    </cfRule>
  </conditionalFormatting>
  <dataValidations count="1">
    <dataValidation allowBlank="true" errorStyle="stop" operator="between" showDropDown="false" showErrorMessage="false" showInputMessage="false" sqref="C6:C13 C15:C23 C25:C37 C39:C41" type="list">
      <formula1>"TAK,NIE"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2026-10-26T13:50:53Z</dcterms:created>
  <dc:creator>openpyxl</dc:creator>
  <dc:description/>
  <dc:language>en-US</dc:language>
  <cp:lastModifiedBy/>
  <dcterms:modified xsi:type="dcterms:W3CDTF">2026-10-26T13:52:14Z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